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2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hartsheets/sheet2.xml" ContentType="application/vnd.openxmlformats-officedocument.spreadsheetml.chartsheet+xml"/>
  <Override PartName="/xl/sharedStrings.xml" ContentType="application/vnd.openxmlformats-officedocument.spreadsheetml.sharedStrings+xml"/>
  <Override PartName="/xl/chartsheets/sheet1.xml" ContentType="application/vnd.openxmlformats-officedocument.spreadsheetml.chartsheet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240" yWindow="105" windowWidth="14805" windowHeight="8010" activeTab="2"/>
  </bookViews>
  <sheets>
    <sheet name="Prosta dzielaca" sheetId="4" r:id="rId1"/>
    <sheet name="Dwa punkty" sheetId="5" r:id="rId2"/>
    <sheet name="Engine" sheetId="3" r:id="rId3"/>
  </sheets>
  <calcPr calcId="125725"/>
</workbook>
</file>

<file path=xl/calcChain.xml><?xml version="1.0" encoding="utf-8"?>
<calcChain xmlns="http://schemas.openxmlformats.org/spreadsheetml/2006/main">
  <c r="G6" i="3"/>
  <c r="E3"/>
  <c r="L3" s="1"/>
  <c r="K3"/>
  <c r="J3"/>
  <c r="F3"/>
  <c r="J6" s="1"/>
  <c r="J7" s="1"/>
  <c r="J8" s="1"/>
  <c r="J9" s="1"/>
  <c r="J10" s="1"/>
  <c r="J11" s="1"/>
  <c r="J12" s="1"/>
  <c r="J13" s="1"/>
  <c r="J14" s="1"/>
  <c r="J15" s="1"/>
  <c r="J16" s="1"/>
  <c r="J17" s="1"/>
  <c r="J18" s="1"/>
  <c r="J19" s="1"/>
  <c r="J20" s="1"/>
  <c r="J21" s="1"/>
  <c r="J22" s="1"/>
  <c r="J23" s="1"/>
  <c r="J24" s="1"/>
  <c r="J25" s="1"/>
  <c r="J26" s="1"/>
  <c r="C6"/>
  <c r="C7" s="1"/>
  <c r="K26" l="1"/>
  <c r="G3"/>
  <c r="K6"/>
  <c r="K24"/>
  <c r="K22"/>
  <c r="K20"/>
  <c r="K18"/>
  <c r="K16"/>
  <c r="K14"/>
  <c r="K12"/>
  <c r="K10"/>
  <c r="K8"/>
  <c r="K7"/>
  <c r="K25"/>
  <c r="K23"/>
  <c r="K21"/>
  <c r="K19"/>
  <c r="K17"/>
  <c r="K15"/>
  <c r="K13"/>
  <c r="K11"/>
  <c r="K9"/>
  <c r="D6"/>
  <c r="F6"/>
  <c r="D7"/>
  <c r="C8"/>
  <c r="D8" s="1"/>
  <c r="F7" l="1"/>
  <c r="C9"/>
  <c r="D9" s="1"/>
  <c r="G7" l="1"/>
  <c r="F8"/>
  <c r="C10"/>
  <c r="D10" s="1"/>
  <c r="G8" l="1"/>
  <c r="F9"/>
  <c r="C11"/>
  <c r="D11" s="1"/>
  <c r="G9" l="1"/>
  <c r="F10"/>
  <c r="C12"/>
  <c r="D12" s="1"/>
  <c r="G10" l="1"/>
  <c r="F11"/>
  <c r="C13"/>
  <c r="D13" s="1"/>
  <c r="G11" l="1"/>
  <c r="F12"/>
  <c r="C14"/>
  <c r="D14" s="1"/>
  <c r="G12" l="1"/>
  <c r="F13"/>
  <c r="C15"/>
  <c r="D15" s="1"/>
  <c r="G13" l="1"/>
  <c r="F14"/>
  <c r="C16"/>
  <c r="D16" s="1"/>
  <c r="G14" l="1"/>
  <c r="F15"/>
  <c r="C17"/>
  <c r="C18" s="1"/>
  <c r="C19" s="1"/>
  <c r="C20" s="1"/>
  <c r="C21" s="1"/>
  <c r="C22" s="1"/>
  <c r="C23" s="1"/>
  <c r="C24" s="1"/>
  <c r="C25" s="1"/>
  <c r="C26" s="1"/>
  <c r="G15" l="1"/>
  <c r="F16"/>
  <c r="D17"/>
  <c r="D18" s="1"/>
  <c r="D19" s="1"/>
  <c r="D20" s="1"/>
  <c r="D21" s="1"/>
  <c r="D22" s="1"/>
  <c r="D23" s="1"/>
  <c r="D24" s="1"/>
  <c r="D25" s="1"/>
  <c r="D26" s="1"/>
  <c r="G16" l="1"/>
  <c r="F17"/>
  <c r="G17" l="1"/>
  <c r="F18"/>
  <c r="G18" l="1"/>
  <c r="F19"/>
  <c r="G19" l="1"/>
  <c r="F20"/>
  <c r="G20" l="1"/>
  <c r="F21"/>
  <c r="G21" l="1"/>
  <c r="F22"/>
  <c r="G22" l="1"/>
  <c r="F23"/>
  <c r="G23" l="1"/>
  <c r="F24"/>
  <c r="G24" l="1"/>
  <c r="F25"/>
  <c r="G25" l="1"/>
  <c r="F26"/>
  <c r="G26" l="1"/>
</calcChain>
</file>

<file path=xl/sharedStrings.xml><?xml version="1.0" encoding="utf-8"?>
<sst xmlns="http://schemas.openxmlformats.org/spreadsheetml/2006/main" count="21" uniqueCount="13">
  <si>
    <t>p1</t>
  </si>
  <si>
    <t>p2</t>
  </si>
  <si>
    <t>x</t>
  </si>
  <si>
    <t>y</t>
  </si>
  <si>
    <t>w1</t>
  </si>
  <si>
    <t>w2</t>
  </si>
  <si>
    <t>próg</t>
  </si>
  <si>
    <t>wskaźniki</t>
  </si>
  <si>
    <t>punkty</t>
  </si>
  <si>
    <t>pw1</t>
  </si>
  <si>
    <t>pw2</t>
  </si>
  <si>
    <t>punkty wektora</t>
  </si>
  <si>
    <t>m1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</si>
</sst>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2" borderId="0" xfId="0" applyFill="1"/>
    <xf numFmtId="0" fontId="0" fillId="0" borderId="0" xfId="0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1.xml"/><Relationship Id="rId7" Type="http://schemas.openxmlformats.org/officeDocument/2006/relationships/calcChain" Target="calcChain.xml"/><Relationship Id="rId2" Type="http://schemas.openxmlformats.org/officeDocument/2006/relationships/chartsheet" Target="chartsheets/sheet2.xml"/><Relationship Id="rId1" Type="http://schemas.openxmlformats.org/officeDocument/2006/relationships/chartsheet" Target="chart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/>
      <c:scatterChart>
        <c:scatterStyle val="lineMarker"/>
        <c:ser>
          <c:idx val="0"/>
          <c:order val="0"/>
          <c:xVal>
            <c:numRef>
              <c:f>Engine!$C$6:$C$26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Engine!$D$6:$D$26</c:f>
              <c:numCache>
                <c:formatCode>General</c:formatCode>
                <c:ptCount val="21"/>
                <c:pt idx="0">
                  <c:v>8.8000000000000007</c:v>
                </c:pt>
                <c:pt idx="1">
                  <c:v>7.9</c:v>
                </c:pt>
                <c:pt idx="2">
                  <c:v>7</c:v>
                </c:pt>
                <c:pt idx="3">
                  <c:v>6.1</c:v>
                </c:pt>
                <c:pt idx="4">
                  <c:v>5.2</c:v>
                </c:pt>
                <c:pt idx="5">
                  <c:v>4.3</c:v>
                </c:pt>
                <c:pt idx="6">
                  <c:v>3.4</c:v>
                </c:pt>
                <c:pt idx="7">
                  <c:v>2.5</c:v>
                </c:pt>
                <c:pt idx="8">
                  <c:v>1.6</c:v>
                </c:pt>
                <c:pt idx="9">
                  <c:v>0.7</c:v>
                </c:pt>
                <c:pt idx="10">
                  <c:v>-0.2</c:v>
                </c:pt>
                <c:pt idx="11">
                  <c:v>-1.1000000000000001</c:v>
                </c:pt>
                <c:pt idx="12">
                  <c:v>-2</c:v>
                </c:pt>
                <c:pt idx="13">
                  <c:v>-2.9</c:v>
                </c:pt>
                <c:pt idx="14">
                  <c:v>-3.8</c:v>
                </c:pt>
                <c:pt idx="15">
                  <c:v>-4.7</c:v>
                </c:pt>
                <c:pt idx="16">
                  <c:v>-5.6</c:v>
                </c:pt>
                <c:pt idx="17">
                  <c:v>-6.5</c:v>
                </c:pt>
                <c:pt idx="18">
                  <c:v>-7.4</c:v>
                </c:pt>
                <c:pt idx="19">
                  <c:v>-8.3000000000000007</c:v>
                </c:pt>
                <c:pt idx="20">
                  <c:v>-9.1999999999999993</c:v>
                </c:pt>
              </c:numCache>
            </c:numRef>
          </c:yVal>
        </c:ser>
        <c:axId val="33678080"/>
        <c:axId val="33679616"/>
      </c:scatterChart>
      <c:valAx>
        <c:axId val="33678080"/>
        <c:scaling>
          <c:orientation val="minMax"/>
        </c:scaling>
        <c:axPos val="b"/>
        <c:numFmt formatCode="General" sourceLinked="1"/>
        <c:tickLblPos val="nextTo"/>
        <c:crossAx val="33679616"/>
        <c:crosses val="autoZero"/>
        <c:crossBetween val="midCat"/>
      </c:valAx>
      <c:valAx>
        <c:axId val="33679616"/>
        <c:scaling>
          <c:orientation val="minMax"/>
        </c:scaling>
        <c:axPos val="l"/>
        <c:majorGridlines/>
        <c:numFmt formatCode="General" sourceLinked="1"/>
        <c:tickLblPos val="nextTo"/>
        <c:crossAx val="33678080"/>
        <c:crosses val="autoZero"/>
        <c:crossBetween val="midCat"/>
      </c:valAx>
    </c:plotArea>
    <c:plotVisOnly val="1"/>
  </c:char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s-ES"/>
  <c:chart>
    <c:plotArea>
      <c:layout/>
      <c:scatterChart>
        <c:scatterStyle val="lineMarker"/>
        <c:ser>
          <c:idx val="0"/>
          <c:order val="0"/>
          <c:tx>
            <c:v>Wykres</c:v>
          </c:tx>
          <c:xVal>
            <c:numRef>
              <c:f>Engine!$F$6:$F$26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Engine!$G$6:$G$26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yVal>
        </c:ser>
        <c:ser>
          <c:idx val="1"/>
          <c:order val="1"/>
          <c:tx>
            <c:v>P1</c:v>
          </c:tx>
          <c:xVal>
            <c:numRef>
              <c:f>Engine!$B$2</c:f>
              <c:numCache>
                <c:formatCode>General</c:formatCode>
                <c:ptCount val="1"/>
                <c:pt idx="0">
                  <c:v>3</c:v>
                </c:pt>
              </c:numCache>
            </c:numRef>
          </c:xVal>
          <c:yVal>
            <c:numRef>
              <c:f>Engine!$C$2</c:f>
              <c:numCache>
                <c:formatCode>General</c:formatCode>
                <c:ptCount val="1"/>
                <c:pt idx="0">
                  <c:v>3</c:v>
                </c:pt>
              </c:numCache>
            </c:numRef>
          </c:yVal>
        </c:ser>
        <c:ser>
          <c:idx val="2"/>
          <c:order val="2"/>
          <c:tx>
            <c:v>P2</c:v>
          </c:tx>
          <c:xVal>
            <c:numRef>
              <c:f>Engine!$B$3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Engine!$C$3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</c:ser>
        <c:ser>
          <c:idx val="3"/>
          <c:order val="3"/>
          <c:tx>
            <c:v>wektor</c:v>
          </c:tx>
          <c:xVal>
            <c:numRef>
              <c:f>Engine!$J$6:$J$26</c:f>
              <c:numCache>
                <c:formatCode>General</c:formatCode>
                <c:ptCount val="21"/>
                <c:pt idx="0">
                  <c:v>-10</c:v>
                </c:pt>
                <c:pt idx="1">
                  <c:v>-9</c:v>
                </c:pt>
                <c:pt idx="2">
                  <c:v>-8</c:v>
                </c:pt>
                <c:pt idx="3">
                  <c:v>-7</c:v>
                </c:pt>
                <c:pt idx="4">
                  <c:v>-6</c:v>
                </c:pt>
                <c:pt idx="5">
                  <c:v>-5</c:v>
                </c:pt>
                <c:pt idx="6">
                  <c:v>-4</c:v>
                </c:pt>
                <c:pt idx="7">
                  <c:v>-3</c:v>
                </c:pt>
                <c:pt idx="8">
                  <c:v>-2</c:v>
                </c:pt>
                <c:pt idx="9">
                  <c:v>-1</c:v>
                </c:pt>
                <c:pt idx="10">
                  <c:v>0</c:v>
                </c:pt>
                <c:pt idx="11">
                  <c:v>1</c:v>
                </c:pt>
                <c:pt idx="12">
                  <c:v>2</c:v>
                </c:pt>
                <c:pt idx="13">
                  <c:v>3</c:v>
                </c:pt>
                <c:pt idx="14">
                  <c:v>4</c:v>
                </c:pt>
                <c:pt idx="15">
                  <c:v>5</c:v>
                </c:pt>
                <c:pt idx="16">
                  <c:v>6</c:v>
                </c:pt>
                <c:pt idx="17">
                  <c:v>7</c:v>
                </c:pt>
                <c:pt idx="18">
                  <c:v>8</c:v>
                </c:pt>
                <c:pt idx="19">
                  <c:v>9</c:v>
                </c:pt>
                <c:pt idx="20">
                  <c:v>10</c:v>
                </c:pt>
              </c:numCache>
            </c:numRef>
          </c:xVal>
          <c:yVal>
            <c:numRef>
              <c:f>Engine!$K$6:$K$26</c:f>
              <c:numCache>
                <c:formatCode>General</c:formatCode>
                <c:ptCount val="21"/>
                <c:pt idx="0">
                  <c:v>12</c:v>
                </c:pt>
                <c:pt idx="1">
                  <c:v>11</c:v>
                </c:pt>
                <c:pt idx="2">
                  <c:v>10</c:v>
                </c:pt>
                <c:pt idx="3">
                  <c:v>9</c:v>
                </c:pt>
                <c:pt idx="4">
                  <c:v>8</c:v>
                </c:pt>
                <c:pt idx="5">
                  <c:v>7</c:v>
                </c:pt>
                <c:pt idx="6">
                  <c:v>6</c:v>
                </c:pt>
                <c:pt idx="7">
                  <c:v>5</c:v>
                </c:pt>
                <c:pt idx="8">
                  <c:v>4</c:v>
                </c:pt>
                <c:pt idx="9">
                  <c:v>3</c:v>
                </c:pt>
                <c:pt idx="10">
                  <c:v>2</c:v>
                </c:pt>
                <c:pt idx="11">
                  <c:v>1</c:v>
                </c:pt>
                <c:pt idx="12">
                  <c:v>0</c:v>
                </c:pt>
                <c:pt idx="13">
                  <c:v>-1</c:v>
                </c:pt>
                <c:pt idx="14">
                  <c:v>-2</c:v>
                </c:pt>
                <c:pt idx="15">
                  <c:v>-3</c:v>
                </c:pt>
                <c:pt idx="16">
                  <c:v>-4</c:v>
                </c:pt>
                <c:pt idx="17">
                  <c:v>-5</c:v>
                </c:pt>
                <c:pt idx="18">
                  <c:v>-6</c:v>
                </c:pt>
                <c:pt idx="19">
                  <c:v>-7</c:v>
                </c:pt>
                <c:pt idx="20">
                  <c:v>-8</c:v>
                </c:pt>
              </c:numCache>
            </c:numRef>
          </c:yVal>
        </c:ser>
        <c:axId val="33735424"/>
        <c:axId val="33736960"/>
      </c:scatterChart>
      <c:valAx>
        <c:axId val="33735424"/>
        <c:scaling>
          <c:orientation val="minMax"/>
        </c:scaling>
        <c:axPos val="b"/>
        <c:numFmt formatCode="General" sourceLinked="1"/>
        <c:tickLblPos val="nextTo"/>
        <c:crossAx val="33736960"/>
        <c:crosses val="autoZero"/>
        <c:crossBetween val="midCat"/>
      </c:valAx>
      <c:valAx>
        <c:axId val="33736960"/>
        <c:scaling>
          <c:orientation val="minMax"/>
        </c:scaling>
        <c:axPos val="l"/>
        <c:majorGridlines/>
        <c:numFmt formatCode="General" sourceLinked="1"/>
        <c:tickLblPos val="nextTo"/>
        <c:crossAx val="33735424"/>
        <c:crosses val="autoZero"/>
        <c:crossBetween val="midCat"/>
      </c:valAx>
    </c:plotArea>
    <c:plotVisOnly val="1"/>
  </c:chart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"/>
  <sheetViews>
    <sheetView zoomScale="81" workbookViewId="0" zoomToFit="1"/>
  </sheetViews>
  <pageMargins left="0.7" right="0.7" top="0.75" bottom="0.75" header="0.3" footer="0.3"/>
  <pageSetup paperSize="9" orientation="landscape" horizontalDpi="300" verticalDpi="300" r:id="rId1"/>
  <drawing r:id="rId2"/>
  <legacyDrawing r:id="rId3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2"/>
  <sheetViews>
    <sheetView zoomScale="81" workbookViewId="0" zoomToFit="1"/>
  </sheetViews>
  <pageMargins left="0.7" right="0.7" top="0.75" bottom="0.75" header="0.3" footer="0.3"/>
  <drawing r:id="rId1"/>
  <legacy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L26"/>
  <sheetViews>
    <sheetView tabSelected="1" topLeftCell="A2" workbookViewId="0">
      <selection activeCell="G6" sqref="G6"/>
    </sheetView>
  </sheetViews>
  <sheetFormatPr defaultRowHeight="15"/>
  <sheetData>
    <row r="1" spans="1:12">
      <c r="B1" t="s">
        <v>2</v>
      </c>
      <c r="C1" t="s">
        <v>3</v>
      </c>
      <c r="E1" t="s">
        <v>4</v>
      </c>
      <c r="F1" t="s">
        <v>5</v>
      </c>
      <c r="G1" t="s">
        <v>6</v>
      </c>
      <c r="J1" t="s">
        <v>2</v>
      </c>
      <c r="K1" t="s">
        <v>3</v>
      </c>
    </row>
    <row r="2" spans="1:12">
      <c r="A2" t="s">
        <v>0</v>
      </c>
      <c r="B2" s="1">
        <v>3</v>
      </c>
      <c r="C2" s="1">
        <v>3</v>
      </c>
      <c r="E2" s="1">
        <v>9</v>
      </c>
      <c r="F2" s="1">
        <v>10</v>
      </c>
      <c r="G2" s="1">
        <v>2</v>
      </c>
      <c r="I2" t="s">
        <v>9</v>
      </c>
      <c r="J2" s="1">
        <v>1</v>
      </c>
      <c r="K2" s="1">
        <v>1</v>
      </c>
      <c r="L2" t="s">
        <v>12</v>
      </c>
    </row>
    <row r="3" spans="1:12">
      <c r="A3" t="s">
        <v>1</v>
      </c>
      <c r="B3" s="1">
        <v>0</v>
      </c>
      <c r="C3" s="1">
        <v>0</v>
      </c>
      <c r="E3">
        <f>(C3-C2)/(B3-B2)</f>
        <v>1</v>
      </c>
      <c r="F3">
        <f>-($C$3-$C$2)</f>
        <v>3</v>
      </c>
      <c r="G3">
        <f>-($E$3*$B$2+$F$3*$C$2)</f>
        <v>-12</v>
      </c>
      <c r="I3" t="s">
        <v>10</v>
      </c>
      <c r="J3" s="1">
        <f>-J2</f>
        <v>-1</v>
      </c>
      <c r="K3" s="1">
        <f>K2</f>
        <v>1</v>
      </c>
      <c r="L3">
        <f>-(1/E3)</f>
        <v>-1</v>
      </c>
    </row>
    <row r="4" spans="1:12">
      <c r="C4" s="2" t="s">
        <v>7</v>
      </c>
      <c r="D4" s="2"/>
      <c r="F4" s="2" t="s">
        <v>8</v>
      </c>
      <c r="G4" s="2"/>
      <c r="J4" s="2" t="s">
        <v>11</v>
      </c>
      <c r="K4" s="2"/>
    </row>
    <row r="5" spans="1:12">
      <c r="C5" t="s">
        <v>2</v>
      </c>
      <c r="D5" t="s">
        <v>3</v>
      </c>
      <c r="F5" t="s">
        <v>2</v>
      </c>
      <c r="G5" t="s">
        <v>3</v>
      </c>
      <c r="J5" t="s">
        <v>2</v>
      </c>
      <c r="K5" t="s">
        <v>3</v>
      </c>
    </row>
    <row r="6" spans="1:12">
      <c r="C6">
        <f>IF($F$2=0,-($G$2)/$E$2,-10)</f>
        <v>-10</v>
      </c>
      <c r="D6">
        <f>IF($F$2&lt;&gt;0,(-$E$2*C6-$G$2)/$F$2,-10)</f>
        <v>8.8000000000000007</v>
      </c>
      <c r="F6">
        <f>IF($F$3=0,-($G$3)/$E$3,-10)</f>
        <v>-10</v>
      </c>
      <c r="G6">
        <f>IF($F$3&lt;&gt;0,$E$3*(F6-$B$2)+$C$2,-10)</f>
        <v>-10</v>
      </c>
      <c r="J6">
        <f>IF($F$3=0,-($G$3)/$E$3,-10)</f>
        <v>-10</v>
      </c>
      <c r="K6">
        <f>IF($F$3&lt;&gt;0,$L$3*(J6-$J$2)+$K$2,-10)</f>
        <v>12</v>
      </c>
    </row>
    <row r="7" spans="1:12">
      <c r="C7">
        <f>IF($F$2=0,-($G$2)/$E$2,C6+1)</f>
        <v>-9</v>
      </c>
      <c r="D7">
        <f>IF($F$2&lt;&gt;0,(-$E$2*C7-$G$2)/$F$2,D6+1)</f>
        <v>7.9</v>
      </c>
      <c r="F7">
        <f>IF($F$3=0,-($G$3)/$E$3,F6+1)</f>
        <v>-9</v>
      </c>
      <c r="G7">
        <f>IF($F$3&lt;&gt;0,$E$3*($F7-$B$2)+$C$2,G6+1)</f>
        <v>-9</v>
      </c>
      <c r="J7">
        <f>IF($F$3=0,-($G$3)/$E$3,J6+1)</f>
        <v>-9</v>
      </c>
      <c r="K7">
        <f>IF($F$3&lt;&gt;0,$L$3*($J7-$J$2)+$K$2,K6+1)</f>
        <v>11</v>
      </c>
    </row>
    <row r="8" spans="1:12">
      <c r="C8">
        <f t="shared" ref="C8:C26" si="0">IF($F$2=0,-($G$2)/$E$2,C7+1)</f>
        <v>-8</v>
      </c>
      <c r="D8">
        <f>IF($F$2&lt;&gt;0,(-$E$2*C8-$G$2)/$F$2,D7+1)</f>
        <v>7</v>
      </c>
      <c r="F8">
        <f>IF($F$3=0,-($G$3)/$E$3,F7+1)</f>
        <v>-8</v>
      </c>
      <c r="G8">
        <f t="shared" ref="G8:G26" si="1">IF($F$3&lt;&gt;0,$E$3*($F8-$B$2)+$C$2,G7+1)</f>
        <v>-8</v>
      </c>
      <c r="J8">
        <f>IF($F$3=0,-($G$3)/$E$3,J7+1)</f>
        <v>-8</v>
      </c>
      <c r="K8">
        <f t="shared" ref="K8:K26" si="2">IF($F$3&lt;&gt;0,$L$3*($J8-$J$2)+$K$2,K7+1)</f>
        <v>10</v>
      </c>
    </row>
    <row r="9" spans="1:12">
      <c r="C9">
        <f t="shared" si="0"/>
        <v>-7</v>
      </c>
      <c r="D9">
        <f t="shared" ref="D9:D26" si="3">IF($F$2&lt;&gt;0,(-$E$2*C9-$G$2)/$F$2,D8+1)</f>
        <v>6.1</v>
      </c>
      <c r="F9">
        <f t="shared" ref="F9:F26" si="4">IF($F$3=0,-($G$3)/$E$3,F8+1)</f>
        <v>-7</v>
      </c>
      <c r="G9">
        <f t="shared" si="1"/>
        <v>-7</v>
      </c>
      <c r="J9">
        <f t="shared" ref="J9:J26" si="5">IF($F$3=0,-($G$3)/$E$3,J8+1)</f>
        <v>-7</v>
      </c>
      <c r="K9">
        <f t="shared" si="2"/>
        <v>9</v>
      </c>
    </row>
    <row r="10" spans="1:12">
      <c r="C10">
        <f t="shared" si="0"/>
        <v>-6</v>
      </c>
      <c r="D10">
        <f t="shared" si="3"/>
        <v>5.2</v>
      </c>
      <c r="F10">
        <f t="shared" si="4"/>
        <v>-6</v>
      </c>
      <c r="G10">
        <f t="shared" si="1"/>
        <v>-6</v>
      </c>
      <c r="J10">
        <f t="shared" si="5"/>
        <v>-6</v>
      </c>
      <c r="K10">
        <f t="shared" si="2"/>
        <v>8</v>
      </c>
    </row>
    <row r="11" spans="1:12">
      <c r="C11">
        <f t="shared" si="0"/>
        <v>-5</v>
      </c>
      <c r="D11">
        <f t="shared" si="3"/>
        <v>4.3</v>
      </c>
      <c r="F11">
        <f t="shared" si="4"/>
        <v>-5</v>
      </c>
      <c r="G11">
        <f t="shared" si="1"/>
        <v>-5</v>
      </c>
      <c r="J11">
        <f t="shared" si="5"/>
        <v>-5</v>
      </c>
      <c r="K11">
        <f t="shared" si="2"/>
        <v>7</v>
      </c>
    </row>
    <row r="12" spans="1:12">
      <c r="C12">
        <f t="shared" si="0"/>
        <v>-4</v>
      </c>
      <c r="D12">
        <f t="shared" si="3"/>
        <v>3.4</v>
      </c>
      <c r="F12">
        <f t="shared" si="4"/>
        <v>-4</v>
      </c>
      <c r="G12">
        <f t="shared" si="1"/>
        <v>-4</v>
      </c>
      <c r="J12">
        <f t="shared" si="5"/>
        <v>-4</v>
      </c>
      <c r="K12">
        <f t="shared" si="2"/>
        <v>6</v>
      </c>
    </row>
    <row r="13" spans="1:12">
      <c r="C13">
        <f t="shared" si="0"/>
        <v>-3</v>
      </c>
      <c r="D13">
        <f t="shared" si="3"/>
        <v>2.5</v>
      </c>
      <c r="F13">
        <f t="shared" si="4"/>
        <v>-3</v>
      </c>
      <c r="G13">
        <f t="shared" si="1"/>
        <v>-3</v>
      </c>
      <c r="J13">
        <f t="shared" si="5"/>
        <v>-3</v>
      </c>
      <c r="K13">
        <f t="shared" si="2"/>
        <v>5</v>
      </c>
    </row>
    <row r="14" spans="1:12">
      <c r="C14">
        <f t="shared" si="0"/>
        <v>-2</v>
      </c>
      <c r="D14">
        <f t="shared" si="3"/>
        <v>1.6</v>
      </c>
      <c r="F14">
        <f t="shared" si="4"/>
        <v>-2</v>
      </c>
      <c r="G14">
        <f t="shared" si="1"/>
        <v>-2</v>
      </c>
      <c r="J14">
        <f t="shared" si="5"/>
        <v>-2</v>
      </c>
      <c r="K14">
        <f t="shared" si="2"/>
        <v>4</v>
      </c>
    </row>
    <row r="15" spans="1:12">
      <c r="C15">
        <f t="shared" si="0"/>
        <v>-1</v>
      </c>
      <c r="D15">
        <f t="shared" si="3"/>
        <v>0.7</v>
      </c>
      <c r="F15">
        <f t="shared" si="4"/>
        <v>-1</v>
      </c>
      <c r="G15">
        <f t="shared" si="1"/>
        <v>-1</v>
      </c>
      <c r="J15">
        <f t="shared" si="5"/>
        <v>-1</v>
      </c>
      <c r="K15">
        <f t="shared" si="2"/>
        <v>3</v>
      </c>
    </row>
    <row r="16" spans="1:12">
      <c r="C16">
        <f t="shared" si="0"/>
        <v>0</v>
      </c>
      <c r="D16">
        <f t="shared" si="3"/>
        <v>-0.2</v>
      </c>
      <c r="F16">
        <f t="shared" si="4"/>
        <v>0</v>
      </c>
      <c r="G16">
        <f t="shared" si="1"/>
        <v>0</v>
      </c>
      <c r="J16">
        <f t="shared" si="5"/>
        <v>0</v>
      </c>
      <c r="K16">
        <f t="shared" si="2"/>
        <v>2</v>
      </c>
    </row>
    <row r="17" spans="3:11">
      <c r="C17">
        <f t="shared" si="0"/>
        <v>1</v>
      </c>
      <c r="D17">
        <f t="shared" si="3"/>
        <v>-1.1000000000000001</v>
      </c>
      <c r="F17">
        <f t="shared" si="4"/>
        <v>1</v>
      </c>
      <c r="G17">
        <f t="shared" si="1"/>
        <v>1</v>
      </c>
      <c r="J17">
        <f t="shared" si="5"/>
        <v>1</v>
      </c>
      <c r="K17">
        <f t="shared" si="2"/>
        <v>1</v>
      </c>
    </row>
    <row r="18" spans="3:11">
      <c r="C18">
        <f t="shared" si="0"/>
        <v>2</v>
      </c>
      <c r="D18">
        <f t="shared" si="3"/>
        <v>-2</v>
      </c>
      <c r="F18">
        <f t="shared" si="4"/>
        <v>2</v>
      </c>
      <c r="G18">
        <f t="shared" si="1"/>
        <v>2</v>
      </c>
      <c r="J18">
        <f t="shared" si="5"/>
        <v>2</v>
      </c>
      <c r="K18">
        <f t="shared" si="2"/>
        <v>0</v>
      </c>
    </row>
    <row r="19" spans="3:11">
      <c r="C19">
        <f t="shared" si="0"/>
        <v>3</v>
      </c>
      <c r="D19">
        <f t="shared" si="3"/>
        <v>-2.9</v>
      </c>
      <c r="F19">
        <f t="shared" si="4"/>
        <v>3</v>
      </c>
      <c r="G19">
        <f t="shared" si="1"/>
        <v>3</v>
      </c>
      <c r="J19">
        <f t="shared" si="5"/>
        <v>3</v>
      </c>
      <c r="K19">
        <f t="shared" si="2"/>
        <v>-1</v>
      </c>
    </row>
    <row r="20" spans="3:11">
      <c r="C20">
        <f t="shared" si="0"/>
        <v>4</v>
      </c>
      <c r="D20">
        <f t="shared" si="3"/>
        <v>-3.8</v>
      </c>
      <c r="F20">
        <f t="shared" si="4"/>
        <v>4</v>
      </c>
      <c r="G20">
        <f t="shared" si="1"/>
        <v>4</v>
      </c>
      <c r="J20">
        <f t="shared" si="5"/>
        <v>4</v>
      </c>
      <c r="K20">
        <f t="shared" si="2"/>
        <v>-2</v>
      </c>
    </row>
    <row r="21" spans="3:11">
      <c r="C21">
        <f t="shared" si="0"/>
        <v>5</v>
      </c>
      <c r="D21">
        <f t="shared" si="3"/>
        <v>-4.7</v>
      </c>
      <c r="F21">
        <f t="shared" si="4"/>
        <v>5</v>
      </c>
      <c r="G21">
        <f t="shared" si="1"/>
        <v>5</v>
      </c>
      <c r="J21">
        <f t="shared" si="5"/>
        <v>5</v>
      </c>
      <c r="K21">
        <f t="shared" si="2"/>
        <v>-3</v>
      </c>
    </row>
    <row r="22" spans="3:11">
      <c r="C22">
        <f t="shared" si="0"/>
        <v>6</v>
      </c>
      <c r="D22">
        <f t="shared" si="3"/>
        <v>-5.6</v>
      </c>
      <c r="F22">
        <f t="shared" si="4"/>
        <v>6</v>
      </c>
      <c r="G22">
        <f t="shared" si="1"/>
        <v>6</v>
      </c>
      <c r="J22">
        <f t="shared" si="5"/>
        <v>6</v>
      </c>
      <c r="K22">
        <f t="shared" si="2"/>
        <v>-4</v>
      </c>
    </row>
    <row r="23" spans="3:11">
      <c r="C23">
        <f t="shared" si="0"/>
        <v>7</v>
      </c>
      <c r="D23">
        <f t="shared" si="3"/>
        <v>-6.5</v>
      </c>
      <c r="F23">
        <f t="shared" si="4"/>
        <v>7</v>
      </c>
      <c r="G23">
        <f t="shared" si="1"/>
        <v>7</v>
      </c>
      <c r="J23">
        <f t="shared" si="5"/>
        <v>7</v>
      </c>
      <c r="K23">
        <f t="shared" si="2"/>
        <v>-5</v>
      </c>
    </row>
    <row r="24" spans="3:11">
      <c r="C24">
        <f t="shared" si="0"/>
        <v>8</v>
      </c>
      <c r="D24">
        <f t="shared" si="3"/>
        <v>-7.4</v>
      </c>
      <c r="F24">
        <f t="shared" si="4"/>
        <v>8</v>
      </c>
      <c r="G24">
        <f t="shared" si="1"/>
        <v>8</v>
      </c>
      <c r="J24">
        <f t="shared" si="5"/>
        <v>8</v>
      </c>
      <c r="K24">
        <f t="shared" si="2"/>
        <v>-6</v>
      </c>
    </row>
    <row r="25" spans="3:11">
      <c r="C25">
        <f t="shared" si="0"/>
        <v>9</v>
      </c>
      <c r="D25">
        <f t="shared" si="3"/>
        <v>-8.3000000000000007</v>
      </c>
      <c r="F25">
        <f t="shared" si="4"/>
        <v>9</v>
      </c>
      <c r="G25">
        <f t="shared" si="1"/>
        <v>9</v>
      </c>
      <c r="J25">
        <f t="shared" si="5"/>
        <v>9</v>
      </c>
      <c r="K25">
        <f t="shared" si="2"/>
        <v>-7</v>
      </c>
    </row>
    <row r="26" spans="3:11">
      <c r="C26">
        <f t="shared" si="0"/>
        <v>10</v>
      </c>
      <c r="D26">
        <f t="shared" si="3"/>
        <v>-9.1999999999999993</v>
      </c>
      <c r="F26">
        <f t="shared" si="4"/>
        <v>10</v>
      </c>
      <c r="G26">
        <f t="shared" si="1"/>
        <v>10</v>
      </c>
      <c r="J26">
        <f t="shared" si="5"/>
        <v>10</v>
      </c>
      <c r="K26">
        <f t="shared" si="2"/>
        <v>-8</v>
      </c>
    </row>
  </sheetData>
  <mergeCells count="3">
    <mergeCell ref="C4:D4"/>
    <mergeCell ref="F4:G4"/>
    <mergeCell ref="J4:K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</vt:vector>
  </HeadingPairs>
  <TitlesOfParts>
    <vt:vector size="3" baseType="lpstr">
      <vt:lpstr>Engine</vt:lpstr>
      <vt:lpstr>Prosta dzielaca</vt:lpstr>
      <vt:lpstr>Dwa punkty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2010-03-27T13:27:19Z</dcterms:modified>
</cp:coreProperties>
</file>